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sombor\Documents\Programming\parhuzamos_eszkozok\beadando\"/>
    </mc:Choice>
  </mc:AlternateContent>
  <xr:revisionPtr revIDLastSave="0" documentId="13_ncr:1_{CB1251A8-8900-44A9-AAB3-BA67DBF85E7C}" xr6:coauthVersionLast="47" xr6:coauthVersionMax="47" xr10:uidLastSave="{00000000-0000-0000-0000-000000000000}"/>
  <bookViews>
    <workbookView xWindow="-120" yWindow="480" windowWidth="38640" windowHeight="21240" xr2:uid="{18B51D75-28DC-4CAA-8296-02BFC6E64DE2}"/>
  </bookViews>
  <sheets>
    <sheet name="perli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9" i="1" l="1"/>
  <c r="C30" i="1"/>
  <c r="C31" i="1"/>
  <c r="C35" i="1" s="1"/>
  <c r="C32" i="1"/>
  <c r="C33" i="1"/>
  <c r="C34" i="1"/>
  <c r="C28" i="1"/>
  <c r="B28" i="1"/>
  <c r="B29" i="1"/>
  <c r="B30" i="1"/>
  <c r="B31" i="1"/>
  <c r="B32" i="1"/>
  <c r="B33" i="1"/>
  <c r="B34" i="1"/>
  <c r="J22" i="1"/>
  <c r="H22" i="1"/>
  <c r="F22" i="1"/>
  <c r="D22" i="1"/>
  <c r="J19" i="1"/>
  <c r="J16" i="1"/>
  <c r="J13" i="1"/>
  <c r="H19" i="1"/>
  <c r="H16" i="1"/>
  <c r="H13" i="1"/>
  <c r="F19" i="1"/>
  <c r="F16" i="1"/>
  <c r="F13" i="1"/>
  <c r="D19" i="1"/>
  <c r="J10" i="1"/>
  <c r="J7" i="1"/>
  <c r="J4" i="1"/>
  <c r="H10" i="1"/>
  <c r="H7" i="1"/>
  <c r="H4" i="1"/>
  <c r="F10" i="1"/>
  <c r="F7" i="1"/>
  <c r="F4" i="1"/>
  <c r="D16" i="1"/>
  <c r="D13" i="1"/>
  <c r="D10" i="1"/>
  <c r="D7" i="1"/>
  <c r="D4" i="1"/>
  <c r="E29" i="1" l="1"/>
  <c r="G32" i="1"/>
  <c r="E31" i="1"/>
  <c r="G31" i="1"/>
  <c r="I30" i="1"/>
  <c r="I29" i="1"/>
  <c r="G28" i="1"/>
  <c r="E28" i="1"/>
  <c r="I28" i="1"/>
  <c r="I33" i="1"/>
  <c r="I32" i="1"/>
  <c r="E34" i="1"/>
  <c r="E30" i="1"/>
  <c r="I31" i="1"/>
  <c r="E32" i="1"/>
  <c r="I34" i="1"/>
  <c r="G33" i="1"/>
  <c r="G34" i="1"/>
  <c r="G29" i="1"/>
  <c r="E33" i="1"/>
  <c r="G30" i="1"/>
  <c r="E35" i="1" l="1"/>
  <c r="G35" i="1"/>
  <c r="I35" i="1"/>
</calcChain>
</file>

<file path=xl/sharedStrings.xml><?xml version="1.0" encoding="utf-8"?>
<sst xmlns="http://schemas.openxmlformats.org/spreadsheetml/2006/main" count="28" uniqueCount="25">
  <si>
    <r>
      <t>T</t>
    </r>
    <r>
      <rPr>
        <b/>
        <vertAlign val="subscript"/>
        <sz val="14"/>
        <color rgb="FF1E66F5"/>
        <rFont val="Aptos Narrow"/>
        <family val="2"/>
        <charset val="238"/>
        <scheme val="minor"/>
      </rPr>
      <t>1</t>
    </r>
  </si>
  <si>
    <r>
      <t>T</t>
    </r>
    <r>
      <rPr>
        <b/>
        <vertAlign val="subscript"/>
        <sz val="14"/>
        <color rgb="FF1E66F5"/>
        <rFont val="Aptos Narrow"/>
        <family val="2"/>
        <charset val="238"/>
        <scheme val="minor"/>
      </rPr>
      <t>2</t>
    </r>
  </si>
  <si>
    <r>
      <t>T</t>
    </r>
    <r>
      <rPr>
        <b/>
        <vertAlign val="subscript"/>
        <sz val="14"/>
        <color rgb="FF1E66F5"/>
        <rFont val="Aptos Narrow"/>
        <family val="2"/>
        <charset val="238"/>
        <scheme val="minor"/>
      </rPr>
      <t>3</t>
    </r>
  </si>
  <si>
    <r>
      <t>T</t>
    </r>
    <r>
      <rPr>
        <b/>
        <vertAlign val="subscript"/>
        <sz val="14"/>
        <color rgb="FF1E66F5"/>
        <rFont val="Aptos Narrow"/>
        <family val="2"/>
        <charset val="238"/>
        <scheme val="minor"/>
      </rPr>
      <t>4</t>
    </r>
  </si>
  <si>
    <t>Speedup</t>
  </si>
  <si>
    <t>AVG</t>
  </si>
  <si>
    <t>1920x1080</t>
  </si>
  <si>
    <t>1600x900</t>
  </si>
  <si>
    <t>1280x720</t>
  </si>
  <si>
    <t>Perlin Noise Generation (ms)</t>
  </si>
  <si>
    <t>Work Size</t>
  </si>
  <si>
    <t>{1, 1}</t>
  </si>
  <si>
    <t>{16, 16}</t>
  </si>
  <si>
    <t>3840x2160</t>
  </si>
  <si>
    <t>960x540</t>
  </si>
  <si>
    <t>2560x1440</t>
  </si>
  <si>
    <t>3200x1800</t>
  </si>
  <si>
    <t>HD Sizes</t>
  </si>
  <si>
    <r>
      <t>T</t>
    </r>
    <r>
      <rPr>
        <b/>
        <vertAlign val="subscript"/>
        <sz val="14"/>
        <color rgb="FF1E66F5"/>
        <rFont val="Aptos Narrow"/>
        <family val="2"/>
        <scheme val="minor"/>
      </rPr>
      <t>1</t>
    </r>
  </si>
  <si>
    <r>
      <t>T</t>
    </r>
    <r>
      <rPr>
        <b/>
        <vertAlign val="subscript"/>
        <sz val="14"/>
        <color rgb="FF1E66F5"/>
        <rFont val="Aptos Narrow"/>
        <family val="2"/>
        <scheme val="minor"/>
      </rPr>
      <t>2</t>
    </r>
  </si>
  <si>
    <r>
      <t>T</t>
    </r>
    <r>
      <rPr>
        <b/>
        <vertAlign val="subscript"/>
        <sz val="14"/>
        <color rgb="FF1E66F5"/>
        <rFont val="Aptos Narrow"/>
        <family val="2"/>
        <scheme val="minor"/>
      </rPr>
      <t>3</t>
    </r>
  </si>
  <si>
    <r>
      <t>T</t>
    </r>
    <r>
      <rPr>
        <b/>
        <vertAlign val="subscript"/>
        <sz val="14"/>
        <color rgb="FF1E66F5"/>
        <rFont val="Aptos Narrow"/>
        <family val="2"/>
        <scheme val="minor"/>
      </rPr>
      <t>4</t>
    </r>
  </si>
  <si>
    <t>{Width, Height}</t>
  </si>
  <si>
    <t>No GPU</t>
  </si>
  <si>
    <t>16..3774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</si>
</sst>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7" x14ac:knownFonts="1">
    <font>
      <sz val="11"/>
      <color theme="1"/>
      <name val="Aptos Narrow"/>
      <family val="2"/>
      <scheme val="minor"/>
    </font>
    <font>
      <sz val="12"/>
      <color rgb="FF4C4F69"/>
      <name val="Aptos Narrow"/>
      <family val="2"/>
      <scheme val="minor"/>
    </font>
    <font>
      <b/>
      <sz val="18"/>
      <color rgb="FF4C4F69"/>
      <name val="Aptos Narrow"/>
      <family val="2"/>
      <charset val="238"/>
      <scheme val="minor"/>
    </font>
    <font>
      <b/>
      <sz val="14"/>
      <color rgb="FFD20F39"/>
      <name val="Aptos Narrow"/>
      <family val="2"/>
      <charset val="238"/>
      <scheme val="minor"/>
    </font>
    <font>
      <b/>
      <sz val="14"/>
      <color rgb="FF1E66F5"/>
      <name val="Aptos Narrow"/>
      <family val="2"/>
      <charset val="238"/>
      <scheme val="minor"/>
    </font>
    <font>
      <b/>
      <vertAlign val="subscript"/>
      <sz val="14"/>
      <color rgb="FF1E66F5"/>
      <name val="Aptos Narrow"/>
      <family val="2"/>
      <charset val="238"/>
      <scheme val="minor"/>
    </font>
    <font>
      <b/>
      <sz val="14"/>
      <color rgb="FF40A02B"/>
      <name val="Aptos Narrow"/>
      <family val="2"/>
      <charset val="238"/>
      <scheme val="minor"/>
    </font>
    <font>
      <sz val="12"/>
      <color rgb="FFDF8E1D"/>
      <name val="Aptos Narrow"/>
      <family val="2"/>
      <scheme val="minor"/>
    </font>
    <font>
      <i/>
      <sz val="12"/>
      <color rgb="FF4C4F69"/>
      <name val="Aptos Narrow"/>
      <family val="2"/>
      <charset val="238"/>
      <scheme val="minor"/>
    </font>
    <font>
      <b/>
      <sz val="12"/>
      <color rgb="FFD20F39"/>
      <name val="Aptos Narrow"/>
      <family val="2"/>
      <charset val="238"/>
      <scheme val="minor"/>
    </font>
    <font>
      <b/>
      <sz val="12"/>
      <color rgb="FF40A02B"/>
      <name val="Aptos Narrow"/>
      <family val="2"/>
      <charset val="238"/>
      <scheme val="minor"/>
    </font>
    <font>
      <sz val="9"/>
      <color rgb="FF1E66F5"/>
      <name val="Aptos Narrow"/>
      <family val="2"/>
      <scheme val="minor"/>
    </font>
    <font>
      <b/>
      <sz val="12"/>
      <color rgb="FF1E66F5"/>
      <name val="Aptos Narrow"/>
      <family val="2"/>
      <charset val="238"/>
      <scheme val="minor"/>
    </font>
    <font>
      <sz val="10"/>
      <color rgb="FFDF8E1D"/>
      <name val="Aptos Narrow"/>
      <family val="2"/>
      <scheme val="minor"/>
    </font>
    <font>
      <i/>
      <sz val="12"/>
      <color rgb="FFDF8E1D"/>
      <name val="Aptos Narrow"/>
      <family val="2"/>
      <charset val="238"/>
      <scheme val="minor"/>
    </font>
    <font>
      <sz val="12"/>
      <color rgb="FF4C4F69"/>
      <name val="Aptos Narrow"/>
      <family val="2"/>
      <charset val="238"/>
      <scheme val="minor"/>
    </font>
    <font>
      <b/>
      <vertAlign val="subscript"/>
      <sz val="14"/>
      <color rgb="FF1E66F5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FF1F5"/>
        <bgColor indexed="64"/>
      </patternFill>
    </fill>
  </fills>
  <borders count="26">
    <border>
      <left/>
      <right/>
      <top/>
      <bottom/>
      <diagonal/>
    </border>
    <border>
      <left style="medium">
        <color rgb="FF4C4F69"/>
      </left>
      <right style="thin">
        <color rgb="FF4C4F69"/>
      </right>
      <top style="thin">
        <color rgb="FF4C4F69"/>
      </top>
      <bottom style="thin">
        <color rgb="FF4C4F69"/>
      </bottom>
      <diagonal/>
    </border>
    <border>
      <left style="thin">
        <color rgb="FF4C4F69"/>
      </left>
      <right style="medium">
        <color rgb="FF4C4F69"/>
      </right>
      <top/>
      <bottom/>
      <diagonal/>
    </border>
    <border>
      <left style="thin">
        <color rgb="FF4C4F69"/>
      </left>
      <right style="medium">
        <color rgb="FF4C4F69"/>
      </right>
      <top/>
      <bottom style="medium">
        <color rgb="FF4C4F69"/>
      </bottom>
      <diagonal/>
    </border>
    <border>
      <left style="medium">
        <color rgb="FF4C4F69"/>
      </left>
      <right/>
      <top style="medium">
        <color rgb="FF4C4F69"/>
      </top>
      <bottom style="medium">
        <color rgb="FF4C4F69"/>
      </bottom>
      <diagonal/>
    </border>
    <border>
      <left/>
      <right/>
      <top style="medium">
        <color rgb="FF4C4F69"/>
      </top>
      <bottom style="medium">
        <color rgb="FF4C4F69"/>
      </bottom>
      <diagonal/>
    </border>
    <border>
      <left/>
      <right style="medium">
        <color rgb="FF4C4F69"/>
      </right>
      <top style="medium">
        <color rgb="FF4C4F69"/>
      </top>
      <bottom style="medium">
        <color rgb="FF4C4F69"/>
      </bottom>
      <diagonal/>
    </border>
    <border>
      <left style="medium">
        <color rgb="FF4C4F69"/>
      </left>
      <right style="medium">
        <color rgb="FF4C4F69"/>
      </right>
      <top style="medium">
        <color rgb="FF4C4F69"/>
      </top>
      <bottom style="thin">
        <color rgb="FF4C4F69"/>
      </bottom>
      <diagonal/>
    </border>
    <border>
      <left style="medium">
        <color rgb="FF4C4F69"/>
      </left>
      <right style="thin">
        <color rgb="FF4C4F69"/>
      </right>
      <top style="medium">
        <color rgb="FF4C4F69"/>
      </top>
      <bottom style="thin">
        <color rgb="FF4C4F69"/>
      </bottom>
      <diagonal/>
    </border>
    <border>
      <left style="thin">
        <color rgb="FF4C4F69"/>
      </left>
      <right style="medium">
        <color rgb="FF4C4F69"/>
      </right>
      <top style="medium">
        <color rgb="FF4C4F69"/>
      </top>
      <bottom/>
      <diagonal/>
    </border>
    <border>
      <left style="medium">
        <color rgb="FF4C4F69"/>
      </left>
      <right style="thin">
        <color rgb="FF4C4F69"/>
      </right>
      <top style="thin">
        <color rgb="FF4C4F69"/>
      </top>
      <bottom style="medium">
        <color rgb="FF4C4F69"/>
      </bottom>
      <diagonal/>
    </border>
    <border>
      <left style="medium">
        <color rgb="FF4C4F69"/>
      </left>
      <right style="thin">
        <color rgb="FF4C4F69"/>
      </right>
      <top style="medium">
        <color rgb="FF4C4F69"/>
      </top>
      <bottom/>
      <diagonal/>
    </border>
    <border>
      <left style="medium">
        <color rgb="FF4C4F69"/>
      </left>
      <right/>
      <top/>
      <bottom/>
      <diagonal/>
    </border>
    <border>
      <left style="medium">
        <color rgb="FF4C4F69"/>
      </left>
      <right/>
      <top style="medium">
        <color rgb="FF4C4F69"/>
      </top>
      <bottom style="thin">
        <color rgb="FF4C4F69"/>
      </bottom>
      <diagonal/>
    </border>
    <border>
      <left style="medium">
        <color rgb="FF4C4F69"/>
      </left>
      <right/>
      <top style="thin">
        <color rgb="FF4C4F69"/>
      </top>
      <bottom style="thin">
        <color rgb="FF4C4F69"/>
      </bottom>
      <diagonal/>
    </border>
    <border>
      <left style="medium">
        <color rgb="FF4C4F69"/>
      </left>
      <right/>
      <top style="thin">
        <color rgb="FF4C4F69"/>
      </top>
      <bottom style="medium">
        <color rgb="FF4C4F69"/>
      </bottom>
      <diagonal/>
    </border>
    <border>
      <left style="medium">
        <color rgb="FF4C4F69"/>
      </left>
      <right/>
      <top style="medium">
        <color rgb="FF4C4F69"/>
      </top>
      <bottom/>
      <diagonal/>
    </border>
    <border>
      <left style="medium">
        <color rgb="FF4C4F69"/>
      </left>
      <right/>
      <top/>
      <bottom style="medium">
        <color rgb="FF4C4F69"/>
      </bottom>
      <diagonal/>
    </border>
    <border>
      <left/>
      <right style="thin">
        <color rgb="FF4C4F69"/>
      </right>
      <top/>
      <bottom style="thin">
        <color rgb="FF4C4F69"/>
      </bottom>
      <diagonal/>
    </border>
    <border>
      <left style="thin">
        <color rgb="FF4C4F69"/>
      </left>
      <right style="medium">
        <color rgb="FF4C4F69"/>
      </right>
      <top style="medium">
        <color rgb="FF4C4F69"/>
      </top>
      <bottom style="thin">
        <color rgb="FF4C4F69"/>
      </bottom>
      <diagonal/>
    </border>
    <border>
      <left style="medium">
        <color rgb="FF4C4F69"/>
      </left>
      <right style="medium">
        <color rgb="FF4C4F69"/>
      </right>
      <top style="thin">
        <color rgb="FF4C4F69"/>
      </top>
      <bottom style="thin">
        <color rgb="FF4C4F69"/>
      </bottom>
      <diagonal/>
    </border>
    <border>
      <left style="medium">
        <color rgb="FF4C4F69"/>
      </left>
      <right style="medium">
        <color rgb="FF4C4F69"/>
      </right>
      <top style="thin">
        <color rgb="FF4C4F69"/>
      </top>
      <bottom style="medium">
        <color rgb="FF4C4F69"/>
      </bottom>
      <diagonal/>
    </border>
    <border>
      <left style="thin">
        <color rgb="FF4C4F69"/>
      </left>
      <right style="thin">
        <color rgb="FF4C4F69"/>
      </right>
      <top style="thin">
        <color rgb="FF4C4F69"/>
      </top>
      <bottom style="thin">
        <color rgb="FF4C4F69"/>
      </bottom>
      <diagonal/>
    </border>
    <border>
      <left/>
      <right style="medium">
        <color rgb="FF4C4F69"/>
      </right>
      <top style="thin">
        <color rgb="FF4C4F69"/>
      </top>
      <bottom style="medium">
        <color rgb="FF4C4F69"/>
      </bottom>
      <diagonal/>
    </border>
    <border>
      <left/>
      <right style="medium">
        <color rgb="FF4C4F69"/>
      </right>
      <top style="medium">
        <color rgb="FF4C4F69"/>
      </top>
      <bottom style="thin">
        <color rgb="FF4C4F69"/>
      </bottom>
      <diagonal/>
    </border>
    <border>
      <left/>
      <right style="medium">
        <color rgb="FF4C4F69"/>
      </right>
      <top style="thin">
        <color rgb="FF4C4F69"/>
      </top>
      <bottom style="thin">
        <color rgb="FF4C4F69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0" xfId="0" applyFont="1" applyFill="1"/>
    <xf numFmtId="0" fontId="3" fillId="2" borderId="12" xfId="0" applyFont="1" applyFill="1" applyBorder="1" applyAlignment="1">
      <alignment horizontal="center" vertical="center"/>
    </xf>
    <xf numFmtId="164" fontId="8" fillId="2" borderId="8" xfId="0" applyNumberFormat="1" applyFont="1" applyFill="1" applyBorder="1" applyAlignment="1">
      <alignment horizontal="center" vertical="center"/>
    </xf>
    <xf numFmtId="164" fontId="8" fillId="2" borderId="1" xfId="0" applyNumberFormat="1" applyFont="1" applyFill="1" applyBorder="1" applyAlignment="1">
      <alignment horizontal="center" vertical="center"/>
    </xf>
    <xf numFmtId="164" fontId="8" fillId="2" borderId="10" xfId="0" applyNumberFormat="1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0" fontId="10" fillId="2" borderId="20" xfId="0" applyFont="1" applyFill="1" applyBorder="1" applyAlignment="1">
      <alignment horizontal="center" vertical="center"/>
    </xf>
    <xf numFmtId="0" fontId="10" fillId="2" borderId="21" xfId="0" applyFont="1" applyFill="1" applyBorder="1" applyAlignment="1">
      <alignment horizontal="center" vertical="center"/>
    </xf>
    <xf numFmtId="0" fontId="9" fillId="2" borderId="21" xfId="0" applyFont="1" applyFill="1" applyBorder="1" applyAlignment="1">
      <alignment horizontal="center" vertical="center"/>
    </xf>
    <xf numFmtId="0" fontId="15" fillId="2" borderId="22" xfId="0" applyFont="1" applyFill="1" applyBorder="1" applyAlignment="1">
      <alignment horizontal="center" vertical="center"/>
    </xf>
    <xf numFmtId="0" fontId="4" fillId="2" borderId="22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4" fillId="2" borderId="22" xfId="0" applyFont="1" applyFill="1" applyBorder="1" applyAlignment="1">
      <alignment horizontal="right" vertical="center"/>
    </xf>
    <xf numFmtId="164" fontId="7" fillId="2" borderId="9" xfId="0" applyNumberFormat="1" applyFont="1" applyFill="1" applyBorder="1" applyAlignment="1">
      <alignment horizontal="center" vertical="center"/>
    </xf>
    <xf numFmtId="164" fontId="7" fillId="2" borderId="2" xfId="0" applyNumberFormat="1" applyFont="1" applyFill="1" applyBorder="1" applyAlignment="1">
      <alignment horizontal="center" vertical="center"/>
    </xf>
    <xf numFmtId="164" fontId="7" fillId="2" borderId="3" xfId="0" applyNumberFormat="1" applyFont="1" applyFill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12" fillId="2" borderId="8" xfId="0" applyFont="1" applyFill="1" applyBorder="1" applyAlignment="1">
      <alignment horizontal="center" vertical="center"/>
    </xf>
    <xf numFmtId="0" fontId="12" fillId="2" borderId="19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11" fillId="2" borderId="15" xfId="0" applyFont="1" applyFill="1" applyBorder="1" applyAlignment="1">
      <alignment horizontal="center" vertical="center"/>
    </xf>
    <xf numFmtId="0" fontId="11" fillId="2" borderId="23" xfId="0" applyFont="1" applyFill="1" applyBorder="1" applyAlignment="1">
      <alignment horizontal="center" vertical="center"/>
    </xf>
    <xf numFmtId="164" fontId="1" fillId="2" borderId="13" xfId="0" applyNumberFormat="1" applyFont="1" applyFill="1" applyBorder="1" applyAlignment="1">
      <alignment horizontal="center" vertical="center"/>
    </xf>
    <xf numFmtId="164" fontId="1" fillId="2" borderId="24" xfId="0" applyNumberFormat="1" applyFont="1" applyFill="1" applyBorder="1" applyAlignment="1">
      <alignment horizontal="center" vertical="center"/>
    </xf>
    <xf numFmtId="164" fontId="1" fillId="2" borderId="14" xfId="0" applyNumberFormat="1" applyFont="1" applyFill="1" applyBorder="1" applyAlignment="1">
      <alignment horizontal="center" vertical="center"/>
    </xf>
    <xf numFmtId="164" fontId="1" fillId="2" borderId="25" xfId="0" applyNumberFormat="1" applyFont="1" applyFill="1" applyBorder="1" applyAlignment="1">
      <alignment horizontal="center" vertical="center"/>
    </xf>
    <xf numFmtId="164" fontId="1" fillId="2" borderId="15" xfId="0" applyNumberFormat="1" applyFont="1" applyFill="1" applyBorder="1" applyAlignment="1">
      <alignment horizontal="center" vertical="center"/>
    </xf>
    <xf numFmtId="164" fontId="1" fillId="2" borderId="23" xfId="0" applyNumberFormat="1" applyFont="1" applyFill="1" applyBorder="1" applyAlignment="1">
      <alignment horizontal="center" vertical="center"/>
    </xf>
    <xf numFmtId="164" fontId="14" fillId="2" borderId="4" xfId="0" applyNumberFormat="1" applyFont="1" applyFill="1" applyBorder="1" applyAlignment="1">
      <alignment horizontal="center" vertical="center"/>
    </xf>
    <xf numFmtId="164" fontId="14" fillId="2" borderId="6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1E66F5"/>
      <color rgb="FF40A02B"/>
      <color rgb="FFD20F39"/>
      <color rgb="FF4C4F69"/>
      <color rgb="FFDF8E1D"/>
      <color rgb="FFEFF1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4C4F69"/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T</a:t>
            </a:r>
            <a:r>
              <a:rPr lang="en-CA" baseline="-25000"/>
              <a:t>1</a:t>
            </a:r>
            <a:r>
              <a:rPr lang="en-CA"/>
              <a:t> Mérések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4C4F69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rgbClr val="1E66F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1E66F5"/>
              </a:solidFill>
              <a:ln w="9525">
                <a:solidFill>
                  <a:srgbClr val="4C4F69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4C4F69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rgbClr val="D20F39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xVal>
            <c:strRef>
              <c:f>perlin!$B$4:$B$24</c:f>
              <c:strCache>
                <c:ptCount val="19"/>
                <c:pt idx="0">
                  <c:v>960x540</c:v>
                </c:pt>
                <c:pt idx="3">
                  <c:v>1280x720</c:v>
                </c:pt>
                <c:pt idx="6">
                  <c:v>1600x900</c:v>
                </c:pt>
                <c:pt idx="9">
                  <c:v>1920x1080</c:v>
                </c:pt>
                <c:pt idx="12">
                  <c:v>2560x1440</c:v>
                </c:pt>
                <c:pt idx="15">
                  <c:v>3200x1800</c:v>
                </c:pt>
                <c:pt idx="18">
                  <c:v>3840x2160</c:v>
                </c:pt>
              </c:strCache>
            </c:strRef>
          </c:xVal>
          <c:yVal>
            <c:numRef>
              <c:f>perlin!$D$4:$D$24</c:f>
              <c:numCache>
                <c:formatCode>0.0000</c:formatCode>
                <c:ptCount val="21"/>
                <c:pt idx="0">
                  <c:v>738.63700000000006</c:v>
                </c:pt>
                <c:pt idx="3">
                  <c:v>1319.3083333333334</c:v>
                </c:pt>
                <c:pt idx="6">
                  <c:v>2067.2370000000005</c:v>
                </c:pt>
                <c:pt idx="9">
                  <c:v>2980.0993333333336</c:v>
                </c:pt>
                <c:pt idx="12">
                  <c:v>5316.2446666666665</c:v>
                </c:pt>
                <c:pt idx="15">
                  <c:v>8294.8639999999996</c:v>
                </c:pt>
                <c:pt idx="18">
                  <c:v>12002.097666666668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712-4478-9D22-2C18CCCB713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152338832"/>
        <c:axId val="1152332712"/>
      </c:scatterChart>
      <c:valAx>
        <c:axId val="1152338832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4C4F69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Felbontás (px *</a:t>
                </a:r>
                <a:r>
                  <a:rPr lang="en-CA" baseline="0"/>
                  <a:t> px)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4C4F69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@" sourceLinked="0"/>
        <c:majorTickMark val="none"/>
        <c:minorTickMark val="none"/>
        <c:tickLblPos val="nextTo"/>
        <c:crossAx val="1152332712"/>
        <c:crosses val="autoZero"/>
        <c:crossBetween val="midCat"/>
      </c:valAx>
      <c:valAx>
        <c:axId val="115233271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4C4F69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Futási idő (ms)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4C4F69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4C4F69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3388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4C4F69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solidFill>
        <a:srgbClr val="4C4F69"/>
      </a:solidFill>
      <a:round/>
    </a:ln>
    <a:effectLst/>
  </c:spPr>
  <c:txPr>
    <a:bodyPr/>
    <a:lstStyle/>
    <a:p>
      <a:pPr>
        <a:defRPr>
          <a:solidFill>
            <a:srgbClr val="4C4F69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rgbClr val="4C4F69"/>
                </a:solidFill>
                <a:latin typeface="+mn-lt"/>
                <a:ea typeface="+mn-ea"/>
                <a:cs typeface="+mn-cs"/>
              </a:defRPr>
            </a:pPr>
            <a:r>
              <a:rPr lang="en-CA" sz="1400"/>
              <a:t>T</a:t>
            </a:r>
            <a:r>
              <a:rPr lang="en-CA" sz="1400" baseline="-25000"/>
              <a:t>2</a:t>
            </a:r>
            <a:r>
              <a:rPr lang="en-CA" sz="1400" baseline="0"/>
              <a:t> Mérések</a:t>
            </a:r>
            <a:endParaRPr lang="en-CA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rgbClr val="4C4F69"/>
              </a:solidFill>
              <a:latin typeface="+mn-lt"/>
              <a:ea typeface="+mn-ea"/>
              <a:cs typeface="+mn-cs"/>
            </a:defRPr>
          </a:pPr>
          <a:endParaRPr lang="en-CA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rgbClr val="1E66F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1E66F5"/>
              </a:solidFill>
              <a:ln w="9525">
                <a:solidFill>
                  <a:srgbClr val="4C4F69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rgbClr val="4C4F69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rgbClr val="D20F39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strRef>
              <c:f>perlin!$B$4:$B$24</c:f>
              <c:strCache>
                <c:ptCount val="19"/>
                <c:pt idx="0">
                  <c:v>960x540</c:v>
                </c:pt>
                <c:pt idx="3">
                  <c:v>1280x720</c:v>
                </c:pt>
                <c:pt idx="6">
                  <c:v>1600x900</c:v>
                </c:pt>
                <c:pt idx="9">
                  <c:v>1920x1080</c:v>
                </c:pt>
                <c:pt idx="12">
                  <c:v>2560x1440</c:v>
                </c:pt>
                <c:pt idx="15">
                  <c:v>3200x1800</c:v>
                </c:pt>
                <c:pt idx="18">
                  <c:v>3840x2160</c:v>
                </c:pt>
              </c:strCache>
            </c:strRef>
          </c:xVal>
          <c:yVal>
            <c:numRef>
              <c:f>perlin!$F$4:$F$24</c:f>
              <c:numCache>
                <c:formatCode>0.0000</c:formatCode>
                <c:ptCount val="21"/>
                <c:pt idx="0">
                  <c:v>2.2990333333333335</c:v>
                </c:pt>
                <c:pt idx="3">
                  <c:v>2.2231999999999998</c:v>
                </c:pt>
                <c:pt idx="6">
                  <c:v>5.7232666666666674</c:v>
                </c:pt>
                <c:pt idx="9">
                  <c:v>7.0349000000000004</c:v>
                </c:pt>
                <c:pt idx="12">
                  <c:v>8.7632666666666648</c:v>
                </c:pt>
                <c:pt idx="15">
                  <c:v>14.332266666666664</c:v>
                </c:pt>
                <c:pt idx="18">
                  <c:v>17.997199999999999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A11-4927-9445-FC850741FB9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211437680"/>
        <c:axId val="1211443440"/>
      </c:scatterChart>
      <c:valAx>
        <c:axId val="1211437680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rgbClr val="4C4F69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1000" b="0" i="0" u="none" strike="noStrike" kern="1200" baseline="0">
                    <a:solidFill>
                      <a:srgbClr val="4C4F69"/>
                    </a:solidFill>
                  </a:rPr>
                  <a:t>Felbontás (px * px)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rgbClr val="4C4F69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1211443440"/>
        <c:crosses val="autoZero"/>
        <c:crossBetween val="midCat"/>
      </c:valAx>
      <c:valAx>
        <c:axId val="121144344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rgbClr val="4C4F69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1000" b="0" i="0" u="none" strike="noStrike" kern="1200" baseline="0">
                    <a:solidFill>
                      <a:srgbClr val="4C4F69"/>
                    </a:solidFill>
                  </a:rPr>
                  <a:t>Futási idő (ms)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rgbClr val="4C4F69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4C4F69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14376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rgbClr val="4C4F69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solidFill>
        <a:srgbClr val="4C4F69"/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rgbClr val="4C4F69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rgbClr val="4C4F69"/>
                </a:solidFill>
                <a:latin typeface="+mn-lt"/>
                <a:ea typeface="+mn-ea"/>
                <a:cs typeface="+mn-cs"/>
              </a:defRPr>
            </a:pPr>
            <a:r>
              <a:rPr lang="en-CA" sz="1400"/>
              <a:t>T</a:t>
            </a:r>
            <a:r>
              <a:rPr lang="en-CA" sz="1400" baseline="-25000"/>
              <a:t>3</a:t>
            </a:r>
            <a:r>
              <a:rPr lang="en-CA" sz="1400" baseline="0"/>
              <a:t> Mérések</a:t>
            </a:r>
            <a:endParaRPr lang="en-CA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rgbClr val="4C4F69"/>
              </a:solidFill>
              <a:latin typeface="+mn-lt"/>
              <a:ea typeface="+mn-ea"/>
              <a:cs typeface="+mn-cs"/>
            </a:defRPr>
          </a:pPr>
          <a:endParaRPr lang="en-CA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rgbClr val="1E66F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1E66F5"/>
              </a:solidFill>
              <a:ln w="9525">
                <a:solidFill>
                  <a:srgbClr val="4C4F69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rgbClr val="4C4F69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rgbClr val="D20F39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strRef>
              <c:f>perlin!$B$4:$B$24</c:f>
              <c:strCache>
                <c:ptCount val="19"/>
                <c:pt idx="0">
                  <c:v>960x540</c:v>
                </c:pt>
                <c:pt idx="3">
                  <c:v>1280x720</c:v>
                </c:pt>
                <c:pt idx="6">
                  <c:v>1600x900</c:v>
                </c:pt>
                <c:pt idx="9">
                  <c:v>1920x1080</c:v>
                </c:pt>
                <c:pt idx="12">
                  <c:v>2560x1440</c:v>
                </c:pt>
                <c:pt idx="15">
                  <c:v>3200x1800</c:v>
                </c:pt>
                <c:pt idx="18">
                  <c:v>3840x2160</c:v>
                </c:pt>
              </c:strCache>
            </c:strRef>
          </c:xVal>
          <c:yVal>
            <c:numRef>
              <c:f>perlin!$H$4:$H$24</c:f>
              <c:numCache>
                <c:formatCode>0.0000</c:formatCode>
                <c:ptCount val="21"/>
                <c:pt idx="0">
                  <c:v>0.10496666666666667</c:v>
                </c:pt>
                <c:pt idx="3">
                  <c:v>9.7366666666666671E-2</c:v>
                </c:pt>
                <c:pt idx="6">
                  <c:v>9.6799999999999997E-2</c:v>
                </c:pt>
                <c:pt idx="9">
                  <c:v>9.6799999999999997E-2</c:v>
                </c:pt>
                <c:pt idx="12">
                  <c:v>0.34133333333333332</c:v>
                </c:pt>
                <c:pt idx="15">
                  <c:v>0.3115</c:v>
                </c:pt>
                <c:pt idx="18">
                  <c:v>0.71950000000000003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343-4323-B618-38FA6C2BD26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186868568"/>
        <c:axId val="1186869288"/>
      </c:scatterChart>
      <c:valAx>
        <c:axId val="118686856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rgbClr val="4C4F69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1000" b="0" i="0" u="none" strike="noStrike" kern="1200" baseline="0">
                    <a:solidFill>
                      <a:srgbClr val="4C4F69"/>
                    </a:solidFill>
                  </a:rPr>
                  <a:t>Felbontás (px * px)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rgbClr val="4C4F69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1186869288"/>
        <c:crosses val="autoZero"/>
        <c:crossBetween val="midCat"/>
      </c:valAx>
      <c:valAx>
        <c:axId val="118686928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rgbClr val="4C4F69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1000" b="0" i="0" u="none" strike="noStrike" kern="1200" baseline="0">
                    <a:solidFill>
                      <a:srgbClr val="4C4F69"/>
                    </a:solidFill>
                  </a:rPr>
                  <a:t>Futási idő (ms)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rgbClr val="4C4F69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4C4F69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68685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rgbClr val="4C4F69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solidFill>
        <a:srgbClr val="4C4F69"/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rgbClr val="4C4F69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rgbClr val="4C4F69"/>
                </a:solidFill>
                <a:latin typeface="+mn-lt"/>
                <a:ea typeface="+mn-ea"/>
                <a:cs typeface="+mn-cs"/>
              </a:defRPr>
            </a:pPr>
            <a:r>
              <a:rPr lang="en-CA" sz="1400"/>
              <a:t>T</a:t>
            </a:r>
            <a:r>
              <a:rPr lang="en-CA" sz="1400" baseline="-25000"/>
              <a:t>4</a:t>
            </a:r>
            <a:r>
              <a:rPr lang="en-CA" sz="1400" baseline="0"/>
              <a:t> Mérések</a:t>
            </a:r>
            <a:endParaRPr lang="en-CA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rgbClr val="4C4F69"/>
              </a:solidFill>
              <a:latin typeface="+mn-lt"/>
              <a:ea typeface="+mn-ea"/>
              <a:cs typeface="+mn-cs"/>
            </a:defRPr>
          </a:pPr>
          <a:endParaRPr lang="en-CA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rgbClr val="1E66F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1E66F5"/>
              </a:solidFill>
              <a:ln w="9525">
                <a:solidFill>
                  <a:srgbClr val="4C4F69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rgbClr val="4C4F69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rgbClr val="D20F39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strRef>
              <c:f>perlin!$B$4:$B$24</c:f>
              <c:strCache>
                <c:ptCount val="19"/>
                <c:pt idx="0">
                  <c:v>960x540</c:v>
                </c:pt>
                <c:pt idx="3">
                  <c:v>1280x720</c:v>
                </c:pt>
                <c:pt idx="6">
                  <c:v>1600x900</c:v>
                </c:pt>
                <c:pt idx="9">
                  <c:v>1920x1080</c:v>
                </c:pt>
                <c:pt idx="12">
                  <c:v>2560x1440</c:v>
                </c:pt>
                <c:pt idx="15">
                  <c:v>3200x1800</c:v>
                </c:pt>
                <c:pt idx="18">
                  <c:v>3840x2160</c:v>
                </c:pt>
              </c:strCache>
            </c:strRef>
          </c:xVal>
          <c:yVal>
            <c:numRef>
              <c:f>perlin!$J$4:$J$24</c:f>
              <c:numCache>
                <c:formatCode>0.0000</c:formatCode>
                <c:ptCount val="21"/>
                <c:pt idx="0">
                  <c:v>0.11253333333333333</c:v>
                </c:pt>
                <c:pt idx="3">
                  <c:v>9.6100000000000005E-2</c:v>
                </c:pt>
                <c:pt idx="6">
                  <c:v>0.22556666666666669</c:v>
                </c:pt>
                <c:pt idx="9">
                  <c:v>0.20983333333333332</c:v>
                </c:pt>
                <c:pt idx="12">
                  <c:v>0.33963333333333329</c:v>
                </c:pt>
                <c:pt idx="15">
                  <c:v>0.68576666666666675</c:v>
                </c:pt>
                <c:pt idx="18">
                  <c:v>0.76383333333333336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20E-4A9D-95AB-D16FA9F15F1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218091616"/>
        <c:axId val="1218092336"/>
      </c:scatterChart>
      <c:valAx>
        <c:axId val="1218091616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rgbClr val="4C4F69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1000" b="0" i="0" u="none" strike="noStrike" kern="1200" baseline="0">
                    <a:solidFill>
                      <a:srgbClr val="4C4F69"/>
                    </a:solidFill>
                  </a:rPr>
                  <a:t>Felbontás (px * px)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rgbClr val="4C4F69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1218092336"/>
        <c:crosses val="autoZero"/>
        <c:crossBetween val="midCat"/>
      </c:valAx>
      <c:valAx>
        <c:axId val="121809233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rgbClr val="4C4F69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1000" b="0" i="0" u="none" strike="noStrike" kern="1200" baseline="0">
                    <a:solidFill>
                      <a:srgbClr val="4C4F69"/>
                    </a:solidFill>
                  </a:rPr>
                  <a:t>Futási idő (ms)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rgbClr val="4C4F69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4C4F69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80916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rgbClr val="4C4F69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solidFill>
        <a:srgbClr val="4C4F69"/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rgbClr val="4C4F69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0</xdr:row>
      <xdr:rowOff>228600</xdr:rowOff>
    </xdr:from>
    <xdr:to>
      <xdr:col>17</xdr:col>
      <xdr:colOff>0</xdr:colOff>
      <xdr:row>11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8D51D20-2AAA-189B-C4B8-1BBC867D05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9525</xdr:colOff>
      <xdr:row>11</xdr:row>
      <xdr:rowOff>238125</xdr:rowOff>
    </xdr:from>
    <xdr:to>
      <xdr:col>17</xdr:col>
      <xdr:colOff>9525</xdr:colOff>
      <xdr:row>21</xdr:row>
      <xdr:rowOff>247875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8597A6C8-131C-347A-6995-CDC95FAFB6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14287</xdr:colOff>
      <xdr:row>22</xdr:row>
      <xdr:rowOff>190500</xdr:rowOff>
    </xdr:from>
    <xdr:to>
      <xdr:col>17</xdr:col>
      <xdr:colOff>14287</xdr:colOff>
      <xdr:row>32</xdr:row>
      <xdr:rowOff>238350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AAB3BF8E-1D0E-0B08-9830-3673A3D099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4762</xdr:colOff>
      <xdr:row>33</xdr:row>
      <xdr:rowOff>190500</xdr:rowOff>
    </xdr:from>
    <xdr:to>
      <xdr:col>17</xdr:col>
      <xdr:colOff>4762</xdr:colOff>
      <xdr:row>47</xdr:row>
      <xdr:rowOff>9750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4BA2B4B6-0185-84D4-39EE-C2F3A300A2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C01EA-F746-4D80-8E3C-41EFB35495AF}">
  <dimension ref="B1:T35"/>
  <sheetViews>
    <sheetView tabSelected="1" zoomScale="130" zoomScaleNormal="130" workbookViewId="0">
      <selection activeCell="V9" sqref="V9"/>
    </sheetView>
  </sheetViews>
  <sheetFormatPr defaultColWidth="9" defaultRowHeight="15.75" x14ac:dyDescent="0.25"/>
  <cols>
    <col min="1" max="1" width="3.140625" style="1" customWidth="1"/>
    <col min="2" max="2" width="13.42578125" style="1" bestFit="1" customWidth="1"/>
    <col min="3" max="10" width="12.7109375" style="1" customWidth="1"/>
    <col min="11" max="11" width="3.140625" style="1" customWidth="1"/>
    <col min="12" max="12" width="9" style="1" customWidth="1"/>
    <col min="13" max="16" width="9" style="1"/>
    <col min="17" max="17" width="9" style="1" customWidth="1"/>
    <col min="18" max="18" width="3.140625" style="1" customWidth="1"/>
    <col min="19" max="19" width="12.85546875" style="1" customWidth="1"/>
    <col min="20" max="20" width="15.5703125" style="1" customWidth="1"/>
    <col min="21" max="21" width="10.5703125" style="1" bestFit="1" customWidth="1"/>
    <col min="22" max="16384" width="9" style="1"/>
  </cols>
  <sheetData>
    <row r="1" spans="2:20" ht="18.75" customHeight="1" thickBot="1" x14ac:dyDescent="0.3"/>
    <row r="2" spans="2:20" ht="21.95" customHeight="1" thickBot="1" x14ac:dyDescent="0.3">
      <c r="B2" s="26" t="s">
        <v>9</v>
      </c>
      <c r="C2" s="27"/>
      <c r="D2" s="27"/>
      <c r="E2" s="27"/>
      <c r="F2" s="27"/>
      <c r="G2" s="27"/>
      <c r="H2" s="27"/>
      <c r="I2" s="27"/>
      <c r="J2" s="28"/>
      <c r="S2" s="13"/>
      <c r="T2" s="12" t="s">
        <v>10</v>
      </c>
    </row>
    <row r="3" spans="2:20" ht="21.95" customHeight="1" thickBot="1" x14ac:dyDescent="0.3">
      <c r="B3" s="2" t="s">
        <v>17</v>
      </c>
      <c r="C3" s="29" t="s">
        <v>0</v>
      </c>
      <c r="D3" s="30"/>
      <c r="E3" s="29" t="s">
        <v>1</v>
      </c>
      <c r="F3" s="30"/>
      <c r="G3" s="29" t="s">
        <v>2</v>
      </c>
      <c r="H3" s="30"/>
      <c r="I3" s="29" t="s">
        <v>3</v>
      </c>
      <c r="J3" s="30"/>
      <c r="S3" s="14" t="s">
        <v>18</v>
      </c>
      <c r="T3" s="11" t="s">
        <v>23</v>
      </c>
    </row>
    <row r="4" spans="2:20" ht="21.95" customHeight="1" x14ac:dyDescent="0.25">
      <c r="B4" s="23" t="s">
        <v>14</v>
      </c>
      <c r="C4" s="3">
        <v>734.51199999999994</v>
      </c>
      <c r="D4" s="15">
        <f>IFERROR(AVERAGE(C4:C6), "")</f>
        <v>738.63700000000006</v>
      </c>
      <c r="E4" s="3">
        <v>2.8047</v>
      </c>
      <c r="F4" s="15">
        <f>IFERROR(AVERAGE(E4:E6), "")</f>
        <v>2.2990333333333335</v>
      </c>
      <c r="G4" s="3">
        <v>9.6500000000000002E-2</v>
      </c>
      <c r="H4" s="15">
        <f>IFERROR(AVERAGE(G4:G6), "")</f>
        <v>0.10496666666666667</v>
      </c>
      <c r="I4" s="3">
        <v>0.1027</v>
      </c>
      <c r="J4" s="15">
        <f>IFERROR(AVERAGE(I4:I6), "")</f>
        <v>0.11253333333333333</v>
      </c>
      <c r="S4" s="14" t="s">
        <v>19</v>
      </c>
      <c r="T4" s="11" t="s">
        <v>11</v>
      </c>
    </row>
    <row r="5" spans="2:20" ht="21.95" customHeight="1" x14ac:dyDescent="0.25">
      <c r="B5" s="24"/>
      <c r="C5" s="4">
        <v>737.96400000000006</v>
      </c>
      <c r="D5" s="16"/>
      <c r="E5" s="4">
        <v>2.8138999999999998</v>
      </c>
      <c r="F5" s="16"/>
      <c r="G5" s="4">
        <v>0.1091</v>
      </c>
      <c r="H5" s="16"/>
      <c r="I5" s="4">
        <v>0.11509999999999999</v>
      </c>
      <c r="J5" s="16"/>
      <c r="S5" s="14" t="s">
        <v>20</v>
      </c>
      <c r="T5" s="11" t="s">
        <v>12</v>
      </c>
    </row>
    <row r="6" spans="2:20" ht="21.95" customHeight="1" thickBot="1" x14ac:dyDescent="0.3">
      <c r="B6" s="25"/>
      <c r="C6" s="5">
        <v>743.43499999999995</v>
      </c>
      <c r="D6" s="17"/>
      <c r="E6" s="5">
        <v>1.2785</v>
      </c>
      <c r="F6" s="17"/>
      <c r="G6" s="5">
        <v>0.10929999999999999</v>
      </c>
      <c r="H6" s="17"/>
      <c r="I6" s="5">
        <v>0.1198</v>
      </c>
      <c r="J6" s="17"/>
      <c r="S6" s="14" t="s">
        <v>21</v>
      </c>
      <c r="T6" s="11" t="s">
        <v>22</v>
      </c>
    </row>
    <row r="7" spans="2:20" ht="21.95" customHeight="1" x14ac:dyDescent="0.25">
      <c r="B7" s="18" t="s">
        <v>8</v>
      </c>
      <c r="C7" s="3">
        <v>1309.4680000000001</v>
      </c>
      <c r="D7" s="15">
        <f>IFERROR(AVERAGE(C7:C9), "")</f>
        <v>1319.3083333333334</v>
      </c>
      <c r="E7" s="3">
        <v>2.2507999999999999</v>
      </c>
      <c r="F7" s="15">
        <f>IFERROR(AVERAGE(E7:E9), "")</f>
        <v>2.2231999999999998</v>
      </c>
      <c r="G7" s="3">
        <v>9.7600000000000006E-2</v>
      </c>
      <c r="H7" s="15">
        <f>IFERROR(AVERAGE(G7:G9), "")</f>
        <v>9.7366666666666671E-2</v>
      </c>
      <c r="I7" s="3">
        <v>9.3799999999999994E-2</v>
      </c>
      <c r="J7" s="15">
        <f>IFERROR(AVERAGE(I7:I9), "")</f>
        <v>9.6100000000000005E-2</v>
      </c>
    </row>
    <row r="8" spans="2:20" ht="21.95" customHeight="1" x14ac:dyDescent="0.25">
      <c r="B8" s="19"/>
      <c r="C8" s="4">
        <v>1326.47</v>
      </c>
      <c r="D8" s="16"/>
      <c r="E8" s="4">
        <v>2.2130000000000001</v>
      </c>
      <c r="F8" s="16"/>
      <c r="G8" s="4">
        <v>9.7699999999999995E-2</v>
      </c>
      <c r="H8" s="16"/>
      <c r="I8" s="4">
        <v>9.7299999999999998E-2</v>
      </c>
      <c r="J8" s="16"/>
    </row>
    <row r="9" spans="2:20" ht="21.95" customHeight="1" thickBot="1" x14ac:dyDescent="0.3">
      <c r="B9" s="20"/>
      <c r="C9" s="5">
        <v>1321.9870000000001</v>
      </c>
      <c r="D9" s="17"/>
      <c r="E9" s="5">
        <v>2.2058</v>
      </c>
      <c r="F9" s="17"/>
      <c r="G9" s="5">
        <v>9.6799999999999997E-2</v>
      </c>
      <c r="H9" s="17"/>
      <c r="I9" s="5">
        <v>9.7199999999999995E-2</v>
      </c>
      <c r="J9" s="17"/>
    </row>
    <row r="10" spans="2:20" ht="21.95" customHeight="1" x14ac:dyDescent="0.25">
      <c r="B10" s="18" t="s">
        <v>7</v>
      </c>
      <c r="C10" s="3">
        <v>2051.6889999999999</v>
      </c>
      <c r="D10" s="15">
        <f>IFERROR(AVERAGE(C10:C12), "")</f>
        <v>2067.2370000000005</v>
      </c>
      <c r="E10" s="3">
        <v>7.7647000000000004</v>
      </c>
      <c r="F10" s="15">
        <f>IFERROR(AVERAGE(E10:E12), "")</f>
        <v>5.7232666666666674</v>
      </c>
      <c r="G10" s="3">
        <v>9.6799999999999997E-2</v>
      </c>
      <c r="H10" s="15">
        <f>IFERROR(AVERAGE(G10:G12), "")</f>
        <v>9.6799999999999997E-2</v>
      </c>
      <c r="I10" s="3">
        <v>0.33100000000000002</v>
      </c>
      <c r="J10" s="15">
        <f>IFERROR(AVERAGE(I10:I12), "")</f>
        <v>0.22556666666666669</v>
      </c>
    </row>
    <row r="11" spans="2:20" ht="21.95" customHeight="1" x14ac:dyDescent="0.25">
      <c r="B11" s="19"/>
      <c r="C11" s="4">
        <v>2071.7420000000002</v>
      </c>
      <c r="D11" s="16"/>
      <c r="E11" s="4">
        <v>6.4264000000000001</v>
      </c>
      <c r="F11" s="16"/>
      <c r="G11" s="4">
        <v>9.6799999999999997E-2</v>
      </c>
      <c r="H11" s="16"/>
      <c r="I11" s="4">
        <v>0.1757</v>
      </c>
      <c r="J11" s="16"/>
    </row>
    <row r="12" spans="2:20" ht="21.95" customHeight="1" thickBot="1" x14ac:dyDescent="0.3">
      <c r="B12" s="20"/>
      <c r="C12" s="5">
        <v>2078.2800000000002</v>
      </c>
      <c r="D12" s="17"/>
      <c r="E12" s="5">
        <v>2.9786999999999999</v>
      </c>
      <c r="F12" s="17"/>
      <c r="G12" s="5">
        <v>9.6799999999999997E-2</v>
      </c>
      <c r="H12" s="17"/>
      <c r="I12" s="5">
        <v>0.17</v>
      </c>
      <c r="J12" s="17"/>
    </row>
    <row r="13" spans="2:20" ht="21.95" customHeight="1" x14ac:dyDescent="0.25">
      <c r="B13" s="18" t="s">
        <v>6</v>
      </c>
      <c r="C13" s="3">
        <v>2983.4740000000002</v>
      </c>
      <c r="D13" s="15">
        <f>IFERROR(AVERAGE(C13:C15), "")</f>
        <v>2980.0993333333336</v>
      </c>
      <c r="E13" s="3">
        <v>11.1196</v>
      </c>
      <c r="F13" s="15">
        <f>IFERROR(AVERAGE(E13:E15), "")</f>
        <v>7.0349000000000004</v>
      </c>
      <c r="G13" s="3">
        <v>9.6799999999999997E-2</v>
      </c>
      <c r="H13" s="15">
        <f>IFERROR(AVERAGE(G13:G15), "")</f>
        <v>9.6799999999999997E-2</v>
      </c>
      <c r="I13" s="3">
        <v>0.20960000000000001</v>
      </c>
      <c r="J13" s="15">
        <f>IFERROR(AVERAGE(I13:I15), "")</f>
        <v>0.20983333333333332</v>
      </c>
    </row>
    <row r="14" spans="2:20" ht="21.95" customHeight="1" x14ac:dyDescent="0.25">
      <c r="B14" s="19"/>
      <c r="C14" s="4">
        <v>2975.904</v>
      </c>
      <c r="D14" s="16"/>
      <c r="E14" s="4">
        <v>4.9960000000000004</v>
      </c>
      <c r="F14" s="16"/>
      <c r="G14" s="4">
        <v>9.6799999999999997E-2</v>
      </c>
      <c r="H14" s="16"/>
      <c r="I14" s="4">
        <v>0.20960000000000001</v>
      </c>
      <c r="J14" s="16"/>
    </row>
    <row r="15" spans="2:20" ht="21.95" customHeight="1" thickBot="1" x14ac:dyDescent="0.3">
      <c r="B15" s="20"/>
      <c r="C15" s="5">
        <v>2980.92</v>
      </c>
      <c r="D15" s="17"/>
      <c r="E15" s="5">
        <v>4.9890999999999996</v>
      </c>
      <c r="F15" s="17"/>
      <c r="G15" s="5">
        <v>9.6799999999999997E-2</v>
      </c>
      <c r="H15" s="17"/>
      <c r="I15" s="5">
        <v>0.21029999999999999</v>
      </c>
      <c r="J15" s="17"/>
    </row>
    <row r="16" spans="2:20" ht="21.95" customHeight="1" x14ac:dyDescent="0.25">
      <c r="B16" s="18" t="s">
        <v>15</v>
      </c>
      <c r="C16" s="3">
        <v>5304.4530000000004</v>
      </c>
      <c r="D16" s="15">
        <f>IFERROR(AVERAGE(C16:C18), "")</f>
        <v>5316.2446666666665</v>
      </c>
      <c r="E16" s="3">
        <v>8.8729999999999993</v>
      </c>
      <c r="F16" s="15">
        <f>IFERROR(AVERAGE(E16:E18), "")</f>
        <v>8.7632666666666648</v>
      </c>
      <c r="G16" s="3">
        <v>0.4209</v>
      </c>
      <c r="H16" s="15">
        <f>IFERROR(AVERAGE(G16:G18), "")</f>
        <v>0.34133333333333332</v>
      </c>
      <c r="I16" s="3">
        <v>0.42220000000000002</v>
      </c>
      <c r="J16" s="15">
        <f>IFERROR(AVERAGE(I16:I18), "")</f>
        <v>0.33963333333333329</v>
      </c>
    </row>
    <row r="17" spans="2:10" ht="21.95" customHeight="1" x14ac:dyDescent="0.25">
      <c r="B17" s="19"/>
      <c r="C17" s="4">
        <v>5300.9480000000003</v>
      </c>
      <c r="D17" s="16"/>
      <c r="E17" s="4">
        <v>8.7045999999999992</v>
      </c>
      <c r="F17" s="16"/>
      <c r="G17" s="4">
        <v>0.29160000000000003</v>
      </c>
      <c r="H17" s="16"/>
      <c r="I17" s="4">
        <v>0.28999999999999998</v>
      </c>
      <c r="J17" s="16"/>
    </row>
    <row r="18" spans="2:10" ht="21.95" customHeight="1" thickBot="1" x14ac:dyDescent="0.3">
      <c r="B18" s="20"/>
      <c r="C18" s="5">
        <v>5343.3329999999996</v>
      </c>
      <c r="D18" s="17"/>
      <c r="E18" s="5">
        <v>8.7121999999999993</v>
      </c>
      <c r="F18" s="17"/>
      <c r="G18" s="5">
        <v>0.3115</v>
      </c>
      <c r="H18" s="17"/>
      <c r="I18" s="5">
        <v>0.30669999999999997</v>
      </c>
      <c r="J18" s="17"/>
    </row>
    <row r="19" spans="2:10" ht="21.95" customHeight="1" x14ac:dyDescent="0.25">
      <c r="B19" s="18" t="s">
        <v>16</v>
      </c>
      <c r="C19" s="3">
        <v>8260.1689999999999</v>
      </c>
      <c r="D19" s="15">
        <f>IFERROR(AVERAGE(C19:C21), "")</f>
        <v>8294.8639999999996</v>
      </c>
      <c r="E19" s="3">
        <v>16.913399999999999</v>
      </c>
      <c r="F19" s="15">
        <f>IFERROR(AVERAGE(E19:E21), "")</f>
        <v>14.332266666666664</v>
      </c>
      <c r="G19" s="3">
        <v>0.3115</v>
      </c>
      <c r="H19" s="15">
        <f>IFERROR(AVERAGE(G19:G21), "")</f>
        <v>0.3115</v>
      </c>
      <c r="I19" s="3">
        <v>0.96340000000000003</v>
      </c>
      <c r="J19" s="15">
        <f>IFERROR(AVERAGE(I19:I21), "")</f>
        <v>0.68576666666666675</v>
      </c>
    </row>
    <row r="20" spans="2:10" ht="21.95" customHeight="1" x14ac:dyDescent="0.25">
      <c r="B20" s="19"/>
      <c r="C20" s="4">
        <v>8325.5840000000007</v>
      </c>
      <c r="D20" s="16"/>
      <c r="E20" s="4">
        <v>13.502599999999999</v>
      </c>
      <c r="F20" s="16"/>
      <c r="G20" s="4">
        <v>0.3115</v>
      </c>
      <c r="H20" s="16"/>
      <c r="I20" s="4">
        <v>0.54630000000000001</v>
      </c>
      <c r="J20" s="16"/>
    </row>
    <row r="21" spans="2:10" ht="21.95" customHeight="1" thickBot="1" x14ac:dyDescent="0.3">
      <c r="B21" s="20"/>
      <c r="C21" s="5">
        <v>8298.8389999999999</v>
      </c>
      <c r="D21" s="17"/>
      <c r="E21" s="5">
        <v>12.5808</v>
      </c>
      <c r="F21" s="17"/>
      <c r="G21" s="5">
        <v>0.3115</v>
      </c>
      <c r="H21" s="17"/>
      <c r="I21" s="5">
        <v>0.54759999999999998</v>
      </c>
      <c r="J21" s="17"/>
    </row>
    <row r="22" spans="2:10" ht="21.95" customHeight="1" x14ac:dyDescent="0.25">
      <c r="B22" s="18" t="s">
        <v>13</v>
      </c>
      <c r="C22" s="3">
        <v>11928.475</v>
      </c>
      <c r="D22" s="15">
        <f>IFERROR(AVERAGE(C22:C24), "")</f>
        <v>12002.097666666668</v>
      </c>
      <c r="E22" s="3">
        <v>19.3826</v>
      </c>
      <c r="F22" s="15">
        <f>IFERROR(AVERAGE(E22:E24), "")</f>
        <v>17.997199999999999</v>
      </c>
      <c r="G22" s="3">
        <v>0.85780000000000001</v>
      </c>
      <c r="H22" s="15">
        <f>IFERROR(AVERAGE(G22:G24), "")</f>
        <v>0.71950000000000003</v>
      </c>
      <c r="I22" s="3">
        <v>0.99329999999999996</v>
      </c>
      <c r="J22" s="15">
        <f>IFERROR(AVERAGE(I22:I24), "")</f>
        <v>0.76383333333333336</v>
      </c>
    </row>
    <row r="23" spans="2:10" ht="21.95" customHeight="1" x14ac:dyDescent="0.25">
      <c r="B23" s="19"/>
      <c r="C23" s="4">
        <v>11887.406000000001</v>
      </c>
      <c r="D23" s="16"/>
      <c r="E23" s="4">
        <v>16.611799999999999</v>
      </c>
      <c r="F23" s="16"/>
      <c r="G23" s="4">
        <v>0.65080000000000005</v>
      </c>
      <c r="H23" s="16"/>
      <c r="I23" s="4">
        <v>0.6492</v>
      </c>
      <c r="J23" s="16"/>
    </row>
    <row r="24" spans="2:10" ht="21.95" customHeight="1" thickBot="1" x14ac:dyDescent="0.3">
      <c r="B24" s="20"/>
      <c r="C24" s="5">
        <v>12190.412</v>
      </c>
      <c r="D24" s="17"/>
      <c r="E24" s="5" t="s">
        <v>24</v>
      </c>
      <c r="F24" s="17"/>
      <c r="G24" s="5">
        <v>0.64990000000000003</v>
      </c>
      <c r="H24" s="17"/>
      <c r="I24" s="5">
        <v>0.64900000000000002</v>
      </c>
      <c r="J24" s="17"/>
    </row>
    <row r="25" spans="2:10" ht="18.75" customHeight="1" thickBot="1" x14ac:dyDescent="0.3"/>
    <row r="26" spans="2:10" ht="21.95" customHeight="1" x14ac:dyDescent="0.25">
      <c r="B26" s="6"/>
      <c r="C26" s="21">
        <v>1</v>
      </c>
      <c r="D26" s="22"/>
      <c r="E26" s="21">
        <v>2</v>
      </c>
      <c r="F26" s="22"/>
      <c r="G26" s="21">
        <v>4</v>
      </c>
      <c r="H26" s="22"/>
      <c r="I26" s="21">
        <v>8</v>
      </c>
      <c r="J26" s="22"/>
    </row>
    <row r="27" spans="2:10" ht="21.95" customHeight="1" thickBot="1" x14ac:dyDescent="0.3">
      <c r="C27" s="31" t="s">
        <v>4</v>
      </c>
      <c r="D27" s="32"/>
      <c r="E27" s="31" t="s">
        <v>4</v>
      </c>
      <c r="F27" s="32"/>
      <c r="G27" s="31" t="s">
        <v>4</v>
      </c>
      <c r="H27" s="32"/>
      <c r="I27" s="31" t="s">
        <v>4</v>
      </c>
      <c r="J27" s="32"/>
    </row>
    <row r="28" spans="2:10" ht="21.95" customHeight="1" x14ac:dyDescent="0.25">
      <c r="B28" s="7" t="str">
        <f>B4</f>
        <v>960x540</v>
      </c>
      <c r="C28" s="33">
        <f>$D$4/D4</f>
        <v>1</v>
      </c>
      <c r="D28" s="34"/>
      <c r="E28" s="33">
        <f>$D$4/F4</f>
        <v>321.28155311652722</v>
      </c>
      <c r="F28" s="34"/>
      <c r="G28" s="33">
        <f>$D$4/H4</f>
        <v>7036.8720228644015</v>
      </c>
      <c r="H28" s="34"/>
      <c r="I28" s="33">
        <f>$D$4/J4</f>
        <v>6563.7174170616117</v>
      </c>
      <c r="J28" s="34"/>
    </row>
    <row r="29" spans="2:10" ht="21.95" customHeight="1" x14ac:dyDescent="0.25">
      <c r="B29" s="8" t="str">
        <f>B7</f>
        <v>1280x720</v>
      </c>
      <c r="C29" s="35">
        <f>$D$7/D7</f>
        <v>1</v>
      </c>
      <c r="D29" s="36"/>
      <c r="E29" s="35">
        <f>$D$7/F7</f>
        <v>593.42764183759152</v>
      </c>
      <c r="F29" s="36"/>
      <c r="G29" s="35">
        <f>$D$7/H7</f>
        <v>13549.897295446764</v>
      </c>
      <c r="H29" s="36"/>
      <c r="I29" s="35">
        <f>$D$7/J7</f>
        <v>13728.494623655914</v>
      </c>
      <c r="J29" s="36"/>
    </row>
    <row r="30" spans="2:10" ht="21.95" customHeight="1" x14ac:dyDescent="0.25">
      <c r="B30" s="8" t="str">
        <f>B10</f>
        <v>1600x900</v>
      </c>
      <c r="C30" s="35">
        <f>$D$10/D10</f>
        <v>1</v>
      </c>
      <c r="D30" s="36"/>
      <c r="E30" s="35">
        <f>$D$10/F10</f>
        <v>361.19879090030173</v>
      </c>
      <c r="F30" s="36"/>
      <c r="G30" s="35">
        <f>$D$10/H10</f>
        <v>21355.75413223141</v>
      </c>
      <c r="H30" s="36"/>
      <c r="I30" s="35">
        <f>$D$10/J10</f>
        <v>9164.6386877493733</v>
      </c>
      <c r="J30" s="36"/>
    </row>
    <row r="31" spans="2:10" ht="21.95" customHeight="1" x14ac:dyDescent="0.25">
      <c r="B31" s="8" t="str">
        <f>B13</f>
        <v>1920x1080</v>
      </c>
      <c r="C31" s="35">
        <f>$D$13/D13</f>
        <v>1</v>
      </c>
      <c r="D31" s="36"/>
      <c r="E31" s="35">
        <f>$D$13/F13</f>
        <v>423.61644562585587</v>
      </c>
      <c r="F31" s="36"/>
      <c r="G31" s="35">
        <f>$D$13/H13</f>
        <v>30786.15013774105</v>
      </c>
      <c r="H31" s="36"/>
      <c r="I31" s="35">
        <f>$D$13/J13</f>
        <v>14202.220810166802</v>
      </c>
      <c r="J31" s="36"/>
    </row>
    <row r="32" spans="2:10" ht="21.95" customHeight="1" x14ac:dyDescent="0.25">
      <c r="B32" s="8" t="str">
        <f>B16</f>
        <v>2560x1440</v>
      </c>
      <c r="C32" s="35">
        <f>$D$16/D16</f>
        <v>1</v>
      </c>
      <c r="D32" s="36"/>
      <c r="E32" s="35">
        <f>$D$16/F16</f>
        <v>606.65102054789327</v>
      </c>
      <c r="F32" s="36"/>
      <c r="G32" s="35">
        <f>$D$16/H16</f>
        <v>15574.935546875</v>
      </c>
      <c r="H32" s="36"/>
      <c r="I32" s="35">
        <f>$D$16/J16</f>
        <v>15652.894297772109</v>
      </c>
      <c r="J32" s="36"/>
    </row>
    <row r="33" spans="2:10" ht="21.95" customHeight="1" x14ac:dyDescent="0.25">
      <c r="B33" s="8" t="str">
        <f>B19</f>
        <v>3200x1800</v>
      </c>
      <c r="C33" s="35">
        <f>$D$19/D19</f>
        <v>1</v>
      </c>
      <c r="D33" s="36"/>
      <c r="E33" s="35">
        <f>$D$19/F19</f>
        <v>578.75451196368113</v>
      </c>
      <c r="F33" s="36"/>
      <c r="G33" s="35">
        <f>$D$19/H19</f>
        <v>26628.776886035314</v>
      </c>
      <c r="H33" s="36"/>
      <c r="I33" s="35">
        <f>$D$19/J19</f>
        <v>12095.75268555874</v>
      </c>
      <c r="J33" s="36"/>
    </row>
    <row r="34" spans="2:10" ht="21.95" customHeight="1" thickBot="1" x14ac:dyDescent="0.3">
      <c r="B34" s="9" t="str">
        <f>B22</f>
        <v>3840x2160</v>
      </c>
      <c r="C34" s="37">
        <f>$D$22/D22</f>
        <v>1</v>
      </c>
      <c r="D34" s="38"/>
      <c r="E34" s="37">
        <f>$D$22/F22</f>
        <v>666.8869416724084</v>
      </c>
      <c r="F34" s="38"/>
      <c r="G34" s="37">
        <f>$D$22/H22</f>
        <v>16681.164234422053</v>
      </c>
      <c r="H34" s="38"/>
      <c r="I34" s="37">
        <f>$D$22/J22</f>
        <v>15712.979707615101</v>
      </c>
      <c r="J34" s="38"/>
    </row>
    <row r="35" spans="2:10" ht="21.95" customHeight="1" thickBot="1" x14ac:dyDescent="0.3">
      <c r="B35" s="10" t="s">
        <v>5</v>
      </c>
      <c r="C35" s="39">
        <f>AVERAGE(C28:C34)</f>
        <v>1</v>
      </c>
      <c r="D35" s="40"/>
      <c r="E35" s="39">
        <f t="shared" ref="D35:J35" si="0">AVERAGE(E28:E34)</f>
        <v>507.40241509489414</v>
      </c>
      <c r="F35" s="40"/>
      <c r="G35" s="39">
        <f t="shared" si="0"/>
        <v>18801.935750802284</v>
      </c>
      <c r="H35" s="40"/>
      <c r="I35" s="39">
        <f t="shared" si="0"/>
        <v>12445.814032797092</v>
      </c>
      <c r="J35" s="40"/>
    </row>
  </sheetData>
  <mergeCells count="80">
    <mergeCell ref="I30:J30"/>
    <mergeCell ref="I29:J29"/>
    <mergeCell ref="I28:J28"/>
    <mergeCell ref="I35:J35"/>
    <mergeCell ref="I34:J34"/>
    <mergeCell ref="I33:J33"/>
    <mergeCell ref="I32:J32"/>
    <mergeCell ref="I31:J31"/>
    <mergeCell ref="E33:F33"/>
    <mergeCell ref="E34:F34"/>
    <mergeCell ref="E35:F35"/>
    <mergeCell ref="G28:H28"/>
    <mergeCell ref="G29:H29"/>
    <mergeCell ref="G30:H30"/>
    <mergeCell ref="G31:H31"/>
    <mergeCell ref="G32:H32"/>
    <mergeCell ref="G33:H33"/>
    <mergeCell ref="G34:H34"/>
    <mergeCell ref="G35:H35"/>
    <mergeCell ref="E28:F28"/>
    <mergeCell ref="E29:F29"/>
    <mergeCell ref="E30:F30"/>
    <mergeCell ref="E31:F31"/>
    <mergeCell ref="E32:F32"/>
    <mergeCell ref="I27:J27"/>
    <mergeCell ref="G27:H27"/>
    <mergeCell ref="E27:F27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B2:J2"/>
    <mergeCell ref="C3:D3"/>
    <mergeCell ref="E3:F3"/>
    <mergeCell ref="G3:H3"/>
    <mergeCell ref="I3:J3"/>
    <mergeCell ref="F4:F6"/>
    <mergeCell ref="J4:J6"/>
    <mergeCell ref="B7:B9"/>
    <mergeCell ref="B10:B12"/>
    <mergeCell ref="B13:B15"/>
    <mergeCell ref="D4:D6"/>
    <mergeCell ref="D7:D9"/>
    <mergeCell ref="D10:D12"/>
    <mergeCell ref="D13:D15"/>
    <mergeCell ref="B4:B6"/>
    <mergeCell ref="F7:F9"/>
    <mergeCell ref="F10:F12"/>
    <mergeCell ref="F13:F15"/>
    <mergeCell ref="H4:H6"/>
    <mergeCell ref="H7:H9"/>
    <mergeCell ref="H10:H12"/>
    <mergeCell ref="C26:D26"/>
    <mergeCell ref="E26:F26"/>
    <mergeCell ref="G26:H26"/>
    <mergeCell ref="I26:J26"/>
    <mergeCell ref="B22:B24"/>
    <mergeCell ref="D22:D24"/>
    <mergeCell ref="F22:F24"/>
    <mergeCell ref="H22:H24"/>
    <mergeCell ref="J22:J24"/>
    <mergeCell ref="J7:J9"/>
    <mergeCell ref="B19:B21"/>
    <mergeCell ref="D19:D21"/>
    <mergeCell ref="F19:F21"/>
    <mergeCell ref="H19:H21"/>
    <mergeCell ref="J19:J21"/>
    <mergeCell ref="H13:H15"/>
    <mergeCell ref="J10:J12"/>
    <mergeCell ref="J13:J15"/>
    <mergeCell ref="B16:B18"/>
    <mergeCell ref="D16:D18"/>
    <mergeCell ref="F16:F18"/>
    <mergeCell ref="H16:H18"/>
    <mergeCell ref="J16:J18"/>
  </mergeCells>
  <pageMargins left="0.7" right="0.7" top="0.75" bottom="0.75" header="0.3" footer="0.3"/>
  <ignoredErrors>
    <ignoredError sqref="C3:J3 B6 B17:B18 B9 B5 B8 B11:B12 B14:B15 D4 D10 H12:H13 D7 D6 H6 D9 D8 H8 H9 D16:D18 D11:D12 F11:F13 D13:D15 D19:D22 F16 H16 J16 D5 H5 J6 J8 J9 H10 J10 H11 J11:J13 F19 H19 J19 F4 F10 F7 F6 F9 F8 F5 H4 H7 J5 J4 J7 F22 H24 H22 J22 H23 J23 J24" formulaRange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perlin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Tóth Zsombor Gábor</dc:creator>
  <cp:lastModifiedBy>Zsombor Gábor Tóth</cp:lastModifiedBy>
  <dcterms:created xsi:type="dcterms:W3CDTF">2025-05-11T02:37:08Z</dcterms:created>
  <dcterms:modified xsi:type="dcterms:W3CDTF">2026-05-05T06:34:29Z</dcterms:modified>
</cp:coreProperties>
</file>